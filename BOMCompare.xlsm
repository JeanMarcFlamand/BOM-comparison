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Documents\7jtf\Excel demos\"/>
    </mc:Choice>
  </mc:AlternateContent>
  <xr:revisionPtr revIDLastSave="0" documentId="8_{9E285192-4F63-4CBF-9C63-81EA81DE9CF3}" xr6:coauthVersionLast="45" xr6:coauthVersionMax="45" xr10:uidLastSave="{00000000-0000-0000-0000-000000000000}"/>
  <bookViews>
    <workbookView xWindow="-19710" yWindow="2715" windowWidth="19980" windowHeight="10665" xr2:uid="{CC546AA1-45A9-4186-8AA3-F752AD277566}"/>
  </bookViews>
  <sheets>
    <sheet name="BOM WO Freq" sheetId="6" r:id="rId1"/>
    <sheet name="BOM Wth Freq" sheetId="4" r:id="rId2"/>
    <sheet name="Warning notes" sheetId="9" r:id="rId3"/>
  </sheets>
  <functionGroups builtInGroupCount="19"/>
  <definedNames>
    <definedName name="_xlpm.MrgCol1" hidden="1" xlm="1">#NAME?</definedName>
    <definedName name="_xlpm.MrgCol2" hidden="1" xlm="1">#NAME?</definedName>
    <definedName name="_xlpm.MrgCol3" hidden="1" xlm="1">#NAME?</definedName>
    <definedName name="_xlpm.MrgCol4" hidden="1" xlm="1">#NAME?</definedName>
    <definedName name="_xlpm.MrgCol5" hidden="1" xlm="1">#NAME?</definedName>
    <definedName name="_xlpm.MrgCol6" hidden="1" xlm="1">#NAME?</definedName>
    <definedName name="_xlpm.MrgCol7" hidden="1" xlm="1">#NAME?</definedName>
    <definedName name="_xlpm.MrgCol8" hidden="1" xlm="1">#NAME?</definedName>
    <definedName name="_xlpm.MrgCol9" hidden="1" xlm="1">#NAME?</definedName>
    <definedName name="_xlpm.tcol1" hidden="1" xlm="1">#NAME?</definedName>
    <definedName name="_xlpm.tcol2" hidden="1" xlm="1">#NAME?</definedName>
    <definedName name="Attr1">'BOM WO Freq'!$A$2</definedName>
    <definedName name="Attr2">'BOM WO Freq'!$B$2</definedName>
    <definedName name="Attr3">'BOM WO Freq'!$C$2</definedName>
    <definedName name="attr4">'BOM WO Freq'!$D$2</definedName>
    <definedName name="attr5">'BOM WO Freq'!$E$2</definedName>
    <definedName name="attr6">'BOM WO Freq'!$F$2</definedName>
    <definedName name="attr7">'BOM WO Freq'!$G$2</definedName>
    <definedName name="attr8">'BOM WO Freq'!$H$2</definedName>
    <definedName name="attr9">'BOM WO Freq'!$I$2</definedName>
    <definedName name="ExternalData_1" localSheetId="1" hidden="1">'BOM Wth Freq'!$A$2:$B$7</definedName>
    <definedName name="ExternalData_2" localSheetId="1" hidden="1">'BOM Wth Freq'!$E$2:$F$7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G3" i="4"/>
  <c r="G4" i="4"/>
  <c r="G5" i="4"/>
  <c r="G6" i="4"/>
  <c r="G7" i="4"/>
  <c r="K9" i="6"/>
  <c r="W4" i="6"/>
  <c r="W5" i="6"/>
  <c r="W6" i="6"/>
  <c r="W7" i="6"/>
  <c r="W8" i="6"/>
  <c r="K4" i="6"/>
  <c r="K5" i="6"/>
  <c r="K6" i="6"/>
  <c r="K7" i="6"/>
  <c r="K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413318-6BC6-4E55-B403-E732C3B870CA}" keepAlive="1" name="Query - NewBOMTbl" description="Connection to the 'NewBOMTbl' query in the workbook." type="5" refreshedVersion="6" saveData="1">
    <dbPr connection="Provider=Microsoft.Mashup.OleDb.1;Data Source=$Workbook$;Location=NewBOMTbl;Extended Properties=&quot;&quot;" command="SELECT * FROM [NewBOMTbl]"/>
  </connection>
  <connection id="2" xr16:uid="{AC488244-FB5D-4081-AE03-82983A8C92B1}" keepAlive="1" name="Query - OldBOMTbl" description="Connection to the 'OldBOMTbl' query in the workbook." type="5" refreshedVersion="6" saveData="1">
    <dbPr connection="Provider=Microsoft.Mashup.OleDb.1;Data Source=$Workbook$;Location=OldBOMTbl;Extended Properties=&quot;&quot;" command="SELECT * FROM [OldBOMTbl]"/>
  </connection>
</connections>
</file>

<file path=xl/sharedStrings.xml><?xml version="1.0" encoding="utf-8"?>
<sst xmlns="http://schemas.openxmlformats.org/spreadsheetml/2006/main" count="122" uniqueCount="54">
  <si>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</si>
  <si>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</si>
  <si>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</si>
  <si>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</si>
  <si>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</si>
  <si>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</si>
  <si>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</si>
  <si>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</si>
  <si>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</si>
  <si>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spc</t>
  </si>
  <si>
    <t>kk</t>
  </si>
  <si>
    <t>New BOM</t>
  </si>
  <si>
    <t>Only in Old BOM</t>
  </si>
  <si>
    <t>Frequency</t>
  </si>
  <si>
    <t>Old BOM</t>
  </si>
  <si>
    <t>Records Summary</t>
  </si>
  <si>
    <t>Warning Notes:</t>
  </si>
  <si>
    <t>Each time tables contents change in "BOM WO Freq", do a Refresh all Data (Crtl-alt-F5)</t>
  </si>
  <si>
    <t>Microsoft Scripting Runtime reference required</t>
  </si>
  <si>
    <t>a</t>
  </si>
  <si>
    <t>b</t>
  </si>
  <si>
    <t>c</t>
  </si>
  <si>
    <t>Renaming Last Fields "Record Summary …." Will Cause Runtime Errors"</t>
  </si>
  <si>
    <t>k</t>
  </si>
  <si>
    <t>Concd-Concd-X750-101</t>
  </si>
  <si>
    <t>A</t>
  </si>
  <si>
    <t>--</t>
  </si>
  <si>
    <t>Concda-Concd-X751-101</t>
  </si>
  <si>
    <t>D</t>
  </si>
  <si>
    <t>Concda-Concd-X752-101001</t>
  </si>
  <si>
    <t>Concda-Concd-X753-51</t>
  </si>
  <si>
    <t>Concda-Concd-X753-27</t>
  </si>
  <si>
    <t>-B</t>
  </si>
  <si>
    <t>-C</t>
  </si>
  <si>
    <t>Renaming table header will cause Queries and Runtime Errors. You will need to edit the query to fix the name change</t>
  </si>
  <si>
    <t>Renaming List Objets (Table) will cause Queries and Runtime Errors.  You will need to edit the query to fix the name change</t>
  </si>
  <si>
    <t>Records Summary With Frequency</t>
  </si>
  <si>
    <t>a= Concd-Concd-X750-101,b= A,c= -B,</t>
  </si>
  <si>
    <t>a= Concda-Concd-X753-51,b= A,c= --,</t>
  </si>
  <si>
    <t>a= Concd-Concd-X750-101,b= A,c= --,</t>
  </si>
  <si>
    <t>a= Concda-Concd-X753-51,b= A,c= -C,</t>
  </si>
  <si>
    <t>a= Concda-Concd-X751-101,b= D,c= --,</t>
  </si>
  <si>
    <t>a= Concda-Concd-X752-101001,b= D,c= --,</t>
  </si>
  <si>
    <t>a= Concda-Concd-X753-27,b= A,c= --,</t>
  </si>
  <si>
    <t>a= Concd-Concd-X750-101,b= A,c= -B, ,Qty=1</t>
  </si>
  <si>
    <t>a= Concda-Concd-X753-51,b= A,c= --, ,Qty=1</t>
  </si>
  <si>
    <t>a= Concd-Concd-X750-101,b= A,c= --, ,Qty=1</t>
  </si>
  <si>
    <t>a= Concda-Concd-X753-51,b= A,c= -C, ,Qty=1</t>
  </si>
  <si>
    <t>a= Concda-Concd-X751-101,b= D,c= --, ,Qty=1</t>
  </si>
  <si>
    <t>a= Concda-Concd-X752-101001,b= D,c= --, ,Qty=1</t>
  </si>
  <si>
    <t>a= Concda-Concd-X753-27,b= A,c= --, ,Qty=1</t>
  </si>
  <si>
    <t>a= Concda-Concd-X753-27,b= A,c= --, ,Qty=2</t>
  </si>
  <si>
    <t>Only in New BOM</t>
  </si>
  <si>
    <t>Only on Both BOM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</si>
</sst>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1" fillId="0" borderId="0" xfId="1" applyFont="1" applyFill="1" applyAlignment="1">
      <alignment horizontal="center"/>
    </xf>
    <xf numFmtId="0" fontId="0" fillId="0" borderId="0" xfId="0" applyNumberFormat="1"/>
    <xf numFmtId="0" fontId="2" fillId="0" borderId="0" xfId="0" applyFont="1" applyAlignme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3" borderId="0" xfId="0" applyFont="1" applyFill="1"/>
    <xf numFmtId="0" fontId="0" fillId="0" borderId="0" xfId="0" applyFont="1" applyFill="1" applyAlignment="1">
      <alignment horizontal="left"/>
    </xf>
    <xf numFmtId="0" fontId="0" fillId="0" borderId="0" xfId="0" quotePrefix="1" applyFont="1" applyFill="1"/>
    <xf numFmtId="0" fontId="0" fillId="0" borderId="0" xfId="0" quotePrefix="1"/>
    <xf numFmtId="0" fontId="0" fillId="0" borderId="0" xfId="0" applyFont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eutral" xfId="1" builtinId="28"/>
    <cellStyle name="Normal" xfId="0" builtinId="0"/>
  </cellStyles>
  <dxfs count="13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D966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CABE32A2-EB27-41CD-B055-75A57277F165}" autoFormatId="16" applyNumberFormats="0" applyBorderFormats="0" applyFontFormats="0" applyPatternFormats="0" applyAlignmentFormats="0" applyWidthHeightFormats="0">
  <queryTableRefresh nextId="8" unboundColumnsRight="1">
    <queryTableFields count="3">
      <queryTableField id="5" name="Records Summary" tableColumnId="4"/>
      <queryTableField id="2" name="Frequency" tableColumnId="2"/>
      <queryTableField id="7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9D53D056-E37A-488F-B1D9-A71A4E89EF48}" autoFormatId="16" applyNumberFormats="0" applyBorderFormats="0" applyFontFormats="0" applyPatternFormats="0" applyAlignmentFormats="0" applyWidthHeightFormats="0">
  <queryTableRefresh nextId="8" unboundColumnsRight="1">
    <queryTableFields count="3">
      <queryTableField id="5" name="Records Summary" tableColumnId="4"/>
      <queryTableField id="2" name="Frequency" tableColumnId="2"/>
      <queryTableField id="7" dataBound="0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8778D4-3019-40C8-BF3B-E956C662C687}" name="OldBOMTbl" displayName="OldBOMTbl" ref="A3:K9" totalsRowShown="0">
  <autoFilter ref="A3:K9" xr:uid="{34A9309F-A485-4E4B-B2A6-C962A98BB360}"/>
  <tableColumns count="11">
    <tableColumn id="1" xr3:uid="{7E8D5661-9EED-4C3F-815A-7BDE68846E92}" name="Column1" dataDxfId="10" dataCellStyle="Neutral"/>
    <tableColumn id="2" xr3:uid="{BC0A2517-AE3C-49AB-8A9F-71C255128308}" name="Column2" dataDxfId="9" dataCellStyle="Neutral"/>
    <tableColumn id="3" xr3:uid="{226417F1-B00A-4078-A31B-3E8D84F34BEC}" name="Column3" dataDxfId="8"/>
    <tableColumn id="4" xr3:uid="{C9448245-1085-486B-A7D3-688F2EAB1529}" name="Column4" dataDxfId="7"/>
    <tableColumn id="5" xr3:uid="{5AE48B15-B7FC-4B53-89ED-39A81E0354A9}" name="Column5"/>
    <tableColumn id="6" xr3:uid="{15DC5147-5E18-4BF0-8D44-326E979D8596}" name="Column6"/>
    <tableColumn id="7" xr3:uid="{974481A3-4C4B-47E1-A6B7-8C0CC01DF1A9}" name="Column7"/>
    <tableColumn id="8" xr3:uid="{C1CEAB50-6A85-4CF3-9655-B86F321E8B14}" name="Column8"/>
    <tableColumn id="9" xr3:uid="{8956FF27-492E-4F9D-98F4-0FD7F71D9890}" name="Column9"/>
    <tableColumn id="10" xr3:uid="{6E6ABBC0-4A85-43E0-A917-E0365EA33BA5}" name="spc"/>
    <tableColumn id="11" xr3:uid="{E4F38CE3-BE43-40A6-8079-4AADC44B4663}" name="Records Summary" dataDxfId="6">
      <calculatedColumnFormula>_xlfn.LET(_xlpm.MrgCol1,  IF(Attr1 = "","",Attr1&amp;"= "&amp;OldBOMTbl[[#This Row],[Column1]]&amp;","),_xlpm.MrgCol2,IF(Attr2="","", Attr2&amp;"= "&amp;OldBOMTbl[[#This Row],[Column2]]&amp;","),_xlpm.MrgCol3, IF(Attr3="","", Attr3&amp;"= "&amp;OldBOMTbl[[#This Row],[Column3]]&amp;","),_xlpm.MrgCol4, IF(attr4="","",attr4&amp;"= "&amp;OldBOMTbl[[#This Row],[Column4]]&amp;","),_xlpm.MrgCol5,IF(attr5="","", attr5&amp;"= "&amp;OldBOMTbl[[#This Row],[Column5]]&amp;","),_xlpm.MrgCol6,IF(attr6="","",attr6&amp;"= "&amp;OldBOMTbl[[#This Row],[Column6]]&amp;","),_xlpm.MrgCol7,IF(attr7="","",attr7&amp;"= "&amp;OldBOMTbl[[#This Row],[Column7]]&amp;","),_xlpm.MrgCol8,IF(attr8="","",attr8&amp;"= "&amp;OldBOMTbl[[#This Row],[Column8]]&amp;","),_xlpm.MrgCol9,IF(attr9="","",attr9&amp;"= "&amp;OldBOMTbl[[#This Row],[Column9]]),_xlpm.MrgCol1&amp;_xlpm.MrgCol2&amp;_xlpm.MrgCol3&amp;_xlpm.MrgCol4&amp;_xlpm.MrgCol5&amp;_xlpm.MrgCol6&amp;_xlpm.MrgCol7&amp;_xlpm.MrgCol8&amp;_xlpm.MrgCol9)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3B8D6C-9734-4958-A63F-0BD0FF64B814}" name="NewBOMTbl" displayName="NewBOMTbl" ref="M3:W8" totalsRowShown="0" headerRowDxfId="5">
  <autoFilter ref="M3:W8" xr:uid="{0289B721-A97A-47E8-8EBA-6E413CCF514E}"/>
  <tableColumns count="11">
    <tableColumn id="1" xr3:uid="{8DF85DCD-6A41-47E2-8A26-AD920CB0B738}" name="Column1"/>
    <tableColumn id="2" xr3:uid="{8483B469-C567-4444-9EBD-1917A4CE2311}" name="Column2"/>
    <tableColumn id="3" xr3:uid="{1F5C771D-48F6-4E9D-8058-B8021842EC1C}" name="Column3"/>
    <tableColumn id="4" xr3:uid="{D360AA17-FC39-40FA-896F-0365A5FB9EFF}" name="Column4"/>
    <tableColumn id="5" xr3:uid="{4634D424-516A-41A9-B376-1C42E579C215}" name="Column5"/>
    <tableColumn id="6" xr3:uid="{37371FB0-083A-46B5-B47F-08909923139B}" name="Column6"/>
    <tableColumn id="7" xr3:uid="{E659F8C9-7B90-423F-BA91-E2E9F67293C9}" name="Column7"/>
    <tableColumn id="8" xr3:uid="{89463D72-3728-42B3-B502-6D1C7D7CF722}" name="Column8"/>
    <tableColumn id="9" xr3:uid="{E24DD659-7059-40EF-A37E-D74EF1C8349B}" name="Column9"/>
    <tableColumn id="10" xr3:uid="{9013CF26-598C-4D21-AF36-A9FA5550ECD9}" name="spc"/>
    <tableColumn id="11" xr3:uid="{C697B320-B6AA-4604-A97D-B8DE5564EFC0}" name="Records Summary" dataDxfId="4">
      <calculatedColumnFormula>_xlfn.LET(_xlpm.MrgCol1,  IF(Attr1 = "","",Attr1&amp;"= "&amp;NewBOMTbl[[#This Row],[Column1]]&amp;","),_xlpm.MrgCol2,IF(Attr2="","", Attr2&amp;"= "&amp;NewBOMTbl[[#This Row],[Column2]]&amp;","),_xlpm.MrgCol3, IF(Attr3="","", Attr3&amp;"= "&amp;NewBOMTbl[[#This Row],[Column3]]&amp;","),_xlpm.MrgCol4, IF(attr4="","",attr4&amp;"= "&amp;NewBOMTbl[[#This Row],[Column4]]&amp;","),_xlpm.MrgCol5,IF(attr5="","", attr5&amp;"= "&amp;NewBOMTbl[[#This Row],[Column5]]&amp;","),_xlpm.MrgCol6,IF(attr6="","",attr6&amp;"= "&amp;NewBOMTbl[[#This Row],[Column6]]&amp;","),_xlpm.MrgCol7,IF(attr7="","",attr7&amp;"= "&amp;NewBOMTbl[[#This Row],[Column7]]&amp;","),_xlpm.MrgCol8,IF(attr8="","",attr8&amp;"= "&amp;NewBOMTbl[[#This Row],[Column8]]&amp;","),_xlpm.MrgCol9,IF(attr9="","",attr9&amp;"= "&amp;NewBOMTbl[[#This Row],[Column9]]),_xlpm.MrgCol1&amp;_xlpm.MrgCol2&amp;_xlpm.MrgCol3&amp;_xlpm.MrgCol4&amp;_xlpm.MrgCol5&amp;_xlpm.MrgCol6&amp;_xlpm.MrgCol7&amp;_xlpm.MrgCol8&amp;_xlpm.MrgCol9)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848B97-356E-4EB6-B3E9-AC57FB458983}" name="OldBOMWthFreq" displayName="OldBOMWthFreq" ref="A2:C7" tableType="queryTable" totalsRowShown="0">
  <autoFilter ref="A2:C7" xr:uid="{ADBF7A13-93F0-4C15-A0DD-3F5418234558}"/>
  <tableColumns count="3">
    <tableColumn id="4" xr3:uid="{BA3EFB1C-FDC0-4C81-9024-E250F77BE078}" uniqueName="4" name="Records Summary" queryTableFieldId="5"/>
    <tableColumn id="2" xr3:uid="{6D02A5F7-17DA-48C0-A0EE-F6DE78C54E48}" uniqueName="2" name="Frequency" queryTableFieldId="2" dataDxfId="3"/>
    <tableColumn id="5" xr3:uid="{5EEC18D0-7E13-435B-928A-7FB20F22CD02}" uniqueName="5" name="Records Summary With Frequency" queryTableFieldId="7" dataDxfId="2">
      <calculatedColumnFormula>OldBOMWthFreq[[#This Row],[Records Summary]]&amp;" ,"&amp;"Qty="&amp;OldBOMWthFreq[[#This Row],[Frequency]]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6AC3ACB-C6C2-4989-92FC-855C2E15F6A6}" name="NewBOMWthFreq" displayName="NewBOMWthFreq" ref="E2:G7" tableType="queryTable" totalsRowShown="0">
  <autoFilter ref="E2:G7" xr:uid="{AD8B7556-DC75-4DE2-B14B-84780C270910}"/>
  <tableColumns count="3">
    <tableColumn id="4" xr3:uid="{539955BF-523D-4AFD-A820-7F548B1DD160}" uniqueName="4" name="Records Summary" queryTableFieldId="5"/>
    <tableColumn id="2" xr3:uid="{B3012A0A-8A67-4389-A7A9-E1F714BCCDA6}" uniqueName="2" name="Frequency" queryTableFieldId="2" dataDxfId="1"/>
    <tableColumn id="5" xr3:uid="{96C3F861-A863-4CAA-A4F7-96C5816F21F2}" uniqueName="5" name="Records Summary With Frequency" queryTableFieldId="7" dataDxfId="0">
      <calculatedColumnFormula>NewBOMWthFreq[[#This Row],[Records Summary]]&amp;" ,"&amp;"Qty="&amp;NewBOMWthFreq[[#This Row],[Frequency]]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55CBF-DA0D-496F-B437-C11A14D55EE3}">
  <sheetPr codeName="shBOMWoFreq"/>
  <dimension ref="A1:AB15"/>
  <sheetViews>
    <sheetView tabSelected="1" topLeftCell="L1" workbookViewId="0">
      <selection activeCell="Z2" sqref="Z2:AB2"/>
    </sheetView>
  </sheetViews>
  <sheetFormatPr defaultRowHeight="15" outlineLevelCol="1" x14ac:dyDescent="0.25"/>
  <cols>
    <col min="1" max="1" width="25.7109375" hidden="1" customWidth="1" outlineLevel="1"/>
    <col min="2" max="2" width="11.140625" hidden="1" customWidth="1" outlineLevel="1"/>
    <col min="3" max="3" width="11" hidden="1" customWidth="1" outlineLevel="1"/>
    <col min="4" max="9" width="11.140625" hidden="1" customWidth="1" outlineLevel="1"/>
    <col min="10" max="10" width="6.140625" hidden="1" customWidth="1" outlineLevel="1"/>
    <col min="11" max="11" width="55.5703125" bestFit="1" customWidth="1" collapsed="1"/>
    <col min="13" max="20" width="11.140625" hidden="1" customWidth="1" outlineLevel="1"/>
    <col min="21" max="21" width="11" hidden="1" customWidth="1" outlineLevel="1"/>
    <col min="22" max="22" width="6.140625" hidden="1" customWidth="1" outlineLevel="1"/>
    <col min="23" max="23" width="55.5703125" bestFit="1" customWidth="1" collapsed="1"/>
    <col min="25" max="25" width="37.7109375" style="15" bestFit="1" customWidth="1"/>
    <col min="26" max="26" width="21.5703125" bestFit="1" customWidth="1"/>
  </cols>
  <sheetData>
    <row r="1" spans="1:28" x14ac:dyDescent="0.25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M1" s="16" t="s">
        <v>11</v>
      </c>
      <c r="N1" s="16"/>
      <c r="O1" s="16"/>
      <c r="P1" s="16"/>
      <c r="Q1" s="16"/>
      <c r="R1" s="16"/>
      <c r="S1" s="16"/>
      <c r="T1" s="16"/>
      <c r="U1" s="16"/>
      <c r="V1" s="16"/>
      <c r="W1" s="16"/>
      <c r="Y1" s="1" t="s">
        <v>12</v>
      </c>
    </row>
    <row r="2" spans="1:28" x14ac:dyDescent="0.25">
      <c r="A2" s="4" t="s">
        <v>19</v>
      </c>
      <c r="B2" s="4" t="s">
        <v>20</v>
      </c>
      <c r="C2" s="5" t="s">
        <v>21</v>
      </c>
      <c r="D2" s="5"/>
      <c r="K2" t="s">
        <v>23</v>
      </c>
      <c r="M2" s="17"/>
      <c r="N2" s="17"/>
      <c r="O2" s="17"/>
      <c r="P2" s="17"/>
      <c r="Q2" s="17"/>
      <c r="R2" s="17"/>
      <c r="S2" s="17"/>
      <c r="T2" s="17"/>
      <c r="U2" s="17"/>
      <c r="V2" s="5"/>
      <c r="W2" t="s">
        <v>10</v>
      </c>
      <c r="Y2" s="15" t="s">
        <v>37</v>
      </c>
      <c r="Z2" s="14" t="s">
        <v>24</v>
      </c>
      <c r="AA2" s="14" t="s">
        <v>25</v>
      </c>
      <c r="AB2" s="14" t="s">
        <v>32</v>
      </c>
    </row>
    <row r="3" spans="1:28" x14ac:dyDescent="0.25">
      <c r="A3" s="12" t="s">
        <v>0</v>
      </c>
      <c r="B3" s="12" t="s">
        <v>1</v>
      </c>
      <c r="C3" s="12" t="s">
        <v>2</v>
      </c>
      <c r="D3" s="12" t="s">
        <v>3</v>
      </c>
      <c r="E3" s="9" t="s">
        <v>4</v>
      </c>
      <c r="F3" s="9" t="s">
        <v>5</v>
      </c>
      <c r="G3" s="9" t="s">
        <v>6</v>
      </c>
      <c r="H3" s="9" t="s">
        <v>7</v>
      </c>
      <c r="I3" s="9" t="s">
        <v>8</v>
      </c>
      <c r="J3" t="s">
        <v>9</v>
      </c>
      <c r="K3" t="s">
        <v>15</v>
      </c>
      <c r="M3" s="12" t="s">
        <v>0</v>
      </c>
      <c r="N3" s="12" t="s">
        <v>1</v>
      </c>
      <c r="O3" s="12" t="s">
        <v>2</v>
      </c>
      <c r="P3" s="12" t="s">
        <v>3</v>
      </c>
      <c r="Q3" s="12" t="s">
        <v>4</v>
      </c>
      <c r="R3" s="12" t="s">
        <v>5</v>
      </c>
      <c r="S3" s="12" t="s">
        <v>6</v>
      </c>
      <c r="T3" s="12" t="s">
        <v>7</v>
      </c>
      <c r="U3" s="12" t="s">
        <v>8</v>
      </c>
      <c r="V3" s="9" t="s">
        <v>9</v>
      </c>
      <c r="W3" s="9" t="s">
        <v>15</v>
      </c>
      <c r="Y3" s="15" t="s">
        <v>38</v>
      </c>
      <c r="Z3" t="s">
        <v>30</v>
      </c>
      <c r="AA3" t="s">
        <v>25</v>
      </c>
      <c r="AB3" s="14" t="s">
        <v>26</v>
      </c>
    </row>
    <row r="4" spans="1:28" x14ac:dyDescent="0.25">
      <c r="A4" s="6" t="s">
        <v>24</v>
      </c>
      <c r="B4" s="6" t="s">
        <v>25</v>
      </c>
      <c r="C4" s="13" t="s">
        <v>32</v>
      </c>
      <c r="D4" s="5"/>
      <c r="K4" t="str">
        <f>_xlfn.LET(_xlpm.MrgCol1,  IF(Attr1 = "","",Attr1&amp;"= "&amp;OldBOMTbl[[#This Row],[Column1]]&amp;","),_xlpm.MrgCol2,IF(Attr2="","", Attr2&amp;"= "&amp;OldBOMTbl[[#This Row],[Column2]]&amp;","),_xlpm.MrgCol3, IF(Attr3="","", Attr3&amp;"= "&amp;OldBOMTbl[[#This Row],[Column3]]&amp;","),_xlpm.MrgCol4, IF(attr4="","",attr4&amp;"= "&amp;OldBOMTbl[[#This Row],[Column4]]&amp;","),_xlpm.MrgCol5,IF(attr5="","", attr5&amp;"= "&amp;OldBOMTbl[[#This Row],[Column5]]&amp;","),_xlpm.MrgCol6,IF(attr6="","",attr6&amp;"= "&amp;OldBOMTbl[[#This Row],[Column6]]&amp;","),_xlpm.MrgCol7,IF(attr7="","",attr7&amp;"= "&amp;OldBOMTbl[[#This Row],[Column7]]&amp;","),_xlpm.MrgCol8,IF(attr8="","",attr8&amp;"= "&amp;OldBOMTbl[[#This Row],[Column8]]&amp;","),_xlpm.MrgCol9,IF(attr9="","",attr9&amp;"= "&amp;OldBOMTbl[[#This Row],[Column9]]),_xlpm.MrgCol1&amp;_xlpm.MrgCol2&amp;_xlpm.MrgCol3&amp;_xlpm.MrgCol4&amp;_xlpm.MrgCol5&amp;_xlpm.MrgCol6&amp;_xlpm.MrgCol7&amp;_xlpm.MrgCol8&amp;_xlpm.MrgCol9)</f>
        <v>a= Concd-Concd-X750-101,b= A,c= -B,</v>
      </c>
      <c r="M4" t="s">
        <v>24</v>
      </c>
      <c r="N4" t="s">
        <v>25</v>
      </c>
      <c r="O4" t="s">
        <v>26</v>
      </c>
      <c r="W4" t="str">
        <f>_xlfn.LET(_xlpm.MrgCol1,  IF(Attr1 = "","",Attr1&amp;"= "&amp;NewBOMTbl[[#This Row],[Column1]]&amp;","),_xlpm.MrgCol2,IF(Attr2="","", Attr2&amp;"= "&amp;NewBOMTbl[[#This Row],[Column2]]&amp;","),_xlpm.MrgCol3, IF(Attr3="","", Attr3&amp;"= "&amp;NewBOMTbl[[#This Row],[Column3]]&amp;","),_xlpm.MrgCol4, IF(attr4="","",attr4&amp;"= "&amp;NewBOMTbl[[#This Row],[Column4]]&amp;","),_xlpm.MrgCol5,IF(attr5="","", attr5&amp;"= "&amp;NewBOMTbl[[#This Row],[Column5]]&amp;","),_xlpm.MrgCol6,IF(attr6="","",attr6&amp;"= "&amp;NewBOMTbl[[#This Row],[Column6]]&amp;","),_xlpm.MrgCol7,IF(attr7="","",attr7&amp;"= "&amp;NewBOMTbl[[#This Row],[Column7]]&amp;","),_xlpm.MrgCol8,IF(attr8="","",attr8&amp;"= "&amp;NewBOMTbl[[#This Row],[Column8]]&amp;","),_xlpm.MrgCol9,IF(attr9="","",attr9&amp;"= "&amp;NewBOMTbl[[#This Row],[Column9]]),_xlpm.MrgCol1&amp;_xlpm.MrgCol2&amp;_xlpm.MrgCol3&amp;_xlpm.MrgCol4&amp;_xlpm.MrgCol5&amp;_xlpm.MrgCol6&amp;_xlpm.MrgCol7&amp;_xlpm.MrgCol8&amp;_xlpm.MrgCol9)</f>
        <v>a= Concd-Concd-X750-101,b= A,c= --,</v>
      </c>
    </row>
    <row r="5" spans="1:28" x14ac:dyDescent="0.25">
      <c r="A5" s="6" t="s">
        <v>27</v>
      </c>
      <c r="B5" s="6" t="s">
        <v>28</v>
      </c>
      <c r="C5" s="5" t="s">
        <v>26</v>
      </c>
      <c r="D5" s="5"/>
      <c r="K5" t="str">
        <f>_xlfn.LET(_xlpm.MrgCol1,  IF(Attr1 = "","",Attr1&amp;"= "&amp;OldBOMTbl[[#This Row],[Column1]]&amp;","),_xlpm.MrgCol2,IF(Attr2="","", Attr2&amp;"= "&amp;OldBOMTbl[[#This Row],[Column2]]&amp;","),_xlpm.MrgCol3, IF(Attr3="","", Attr3&amp;"= "&amp;OldBOMTbl[[#This Row],[Column3]]&amp;","),_xlpm.MrgCol4, IF(attr4="","",attr4&amp;"= "&amp;OldBOMTbl[[#This Row],[Column4]]&amp;","),_xlpm.MrgCol5,IF(attr5="","", attr5&amp;"= "&amp;OldBOMTbl[[#This Row],[Column5]]&amp;","),_xlpm.MrgCol6,IF(attr6="","",attr6&amp;"= "&amp;OldBOMTbl[[#This Row],[Column6]]&amp;","),_xlpm.MrgCol7,IF(attr7="","",attr7&amp;"= "&amp;OldBOMTbl[[#This Row],[Column7]]&amp;","),_xlpm.MrgCol8,IF(attr8="","",attr8&amp;"= "&amp;OldBOMTbl[[#This Row],[Column8]]&amp;","),_xlpm.MrgCol9,IF(attr9="","",attr9&amp;"= "&amp;OldBOMTbl[[#This Row],[Column9]]),_xlpm.MrgCol1&amp;_xlpm.MrgCol2&amp;_xlpm.MrgCol3&amp;_xlpm.MrgCol4&amp;_xlpm.MrgCol5&amp;_xlpm.MrgCol6&amp;_xlpm.MrgCol7&amp;_xlpm.MrgCol8&amp;_xlpm.MrgCol9)</f>
        <v>a= Concda-Concd-X751-101,b= D,c= --,</v>
      </c>
      <c r="M5" t="s">
        <v>27</v>
      </c>
      <c r="N5" t="s">
        <v>28</v>
      </c>
      <c r="O5" t="s">
        <v>26</v>
      </c>
      <c r="W5" t="str">
        <f>_xlfn.LET(_xlpm.MrgCol1,  IF(Attr1 = "","",Attr1&amp;"= "&amp;NewBOMTbl[[#This Row],[Column1]]&amp;","),_xlpm.MrgCol2,IF(Attr2="","", Attr2&amp;"= "&amp;NewBOMTbl[[#This Row],[Column2]]&amp;","),_xlpm.MrgCol3, IF(Attr3="","", Attr3&amp;"= "&amp;NewBOMTbl[[#This Row],[Column3]]&amp;","),_xlpm.MrgCol4, IF(attr4="","",attr4&amp;"= "&amp;NewBOMTbl[[#This Row],[Column4]]&amp;","),_xlpm.MrgCol5,IF(attr5="","", attr5&amp;"= "&amp;NewBOMTbl[[#This Row],[Column5]]&amp;","),_xlpm.MrgCol6,IF(attr6="","",attr6&amp;"= "&amp;NewBOMTbl[[#This Row],[Column6]]&amp;","),_xlpm.MrgCol7,IF(attr7="","",attr7&amp;"= "&amp;NewBOMTbl[[#This Row],[Column7]]&amp;","),_xlpm.MrgCol8,IF(attr8="","",attr8&amp;"= "&amp;NewBOMTbl[[#This Row],[Column8]]&amp;","),_xlpm.MrgCol9,IF(attr9="","",attr9&amp;"= "&amp;NewBOMTbl[[#This Row],[Column9]]),_xlpm.MrgCol1&amp;_xlpm.MrgCol2&amp;_xlpm.MrgCol3&amp;_xlpm.MrgCol4&amp;_xlpm.MrgCol5&amp;_xlpm.MrgCol6&amp;_xlpm.MrgCol7&amp;_xlpm.MrgCol8&amp;_xlpm.MrgCol9)</f>
        <v>a= Concda-Concd-X751-101,b= D,c= --,</v>
      </c>
    </row>
    <row r="6" spans="1:28" x14ac:dyDescent="0.25">
      <c r="A6" s="6" t="s">
        <v>29</v>
      </c>
      <c r="B6" s="6" t="s">
        <v>28</v>
      </c>
      <c r="C6" s="5" t="s">
        <v>26</v>
      </c>
      <c r="D6" s="5"/>
      <c r="K6" s="7" t="str">
        <f>_xlfn.LET(_xlpm.MrgCol1,  IF(Attr1 = "","",Attr1&amp;"= "&amp;OldBOMTbl[[#This Row],[Column1]]&amp;","),_xlpm.MrgCol2,IF(Attr2="","", Attr2&amp;"= "&amp;OldBOMTbl[[#This Row],[Column2]]&amp;","),_xlpm.MrgCol3, IF(Attr3="","", Attr3&amp;"= "&amp;OldBOMTbl[[#This Row],[Column3]]&amp;","),_xlpm.MrgCol4, IF(attr4="","",attr4&amp;"= "&amp;OldBOMTbl[[#This Row],[Column4]]&amp;","),_xlpm.MrgCol5,IF(attr5="","", attr5&amp;"= "&amp;OldBOMTbl[[#This Row],[Column5]]&amp;","),_xlpm.MrgCol6,IF(attr6="","",attr6&amp;"= "&amp;OldBOMTbl[[#This Row],[Column6]]&amp;","),_xlpm.MrgCol7,IF(attr7="","",attr7&amp;"= "&amp;OldBOMTbl[[#This Row],[Column7]]&amp;","),_xlpm.MrgCol8,IF(attr8="","",attr8&amp;"= "&amp;OldBOMTbl[[#This Row],[Column8]]&amp;","),_xlpm.MrgCol9,IF(attr9="","",attr9&amp;"= "&amp;OldBOMTbl[[#This Row],[Column9]]),_xlpm.MrgCol1&amp;_xlpm.MrgCol2&amp;_xlpm.MrgCol3&amp;_xlpm.MrgCol4&amp;_xlpm.MrgCol5&amp;_xlpm.MrgCol6&amp;_xlpm.MrgCol7&amp;_xlpm.MrgCol8&amp;_xlpm.MrgCol9)</f>
        <v>a= Concda-Concd-X752-101001,b= D,c= --,</v>
      </c>
      <c r="M6" t="s">
        <v>29</v>
      </c>
      <c r="N6" t="s">
        <v>28</v>
      </c>
      <c r="O6" t="s">
        <v>26</v>
      </c>
      <c r="W6" s="7" t="str">
        <f>_xlfn.LET(_xlpm.MrgCol1,  IF(Attr1 = "","",Attr1&amp;"= "&amp;NewBOMTbl[[#This Row],[Column1]]&amp;","),_xlpm.MrgCol2,IF(Attr2="","", Attr2&amp;"= "&amp;NewBOMTbl[[#This Row],[Column2]]&amp;","),_xlpm.MrgCol3, IF(Attr3="","", Attr3&amp;"= "&amp;NewBOMTbl[[#This Row],[Column3]]&amp;","),_xlpm.MrgCol4, IF(attr4="","",attr4&amp;"= "&amp;NewBOMTbl[[#This Row],[Column4]]&amp;","),_xlpm.MrgCol5,IF(attr5="","", attr5&amp;"= "&amp;NewBOMTbl[[#This Row],[Column5]]&amp;","),_xlpm.MrgCol6,IF(attr6="","",attr6&amp;"= "&amp;NewBOMTbl[[#This Row],[Column6]]&amp;","),_xlpm.MrgCol7,IF(attr7="","",attr7&amp;"= "&amp;NewBOMTbl[[#This Row],[Column7]]&amp;","),_xlpm.MrgCol8,IF(attr8="","",attr8&amp;"= "&amp;NewBOMTbl[[#This Row],[Column8]]&amp;","),_xlpm.MrgCol9,IF(attr9="","",attr9&amp;"= "&amp;NewBOMTbl[[#This Row],[Column9]]),_xlpm.MrgCol1&amp;_xlpm.MrgCol2&amp;_xlpm.MrgCol3&amp;_xlpm.MrgCol4&amp;_xlpm.MrgCol5&amp;_xlpm.MrgCol6&amp;_xlpm.MrgCol7&amp;_xlpm.MrgCol8&amp;_xlpm.MrgCol9)</f>
        <v>a= Concda-Concd-X752-101001,b= D,c= --,</v>
      </c>
      <c r="Y6" s="1" t="s">
        <v>52</v>
      </c>
    </row>
    <row r="7" spans="1:28" x14ac:dyDescent="0.25">
      <c r="A7" s="6" t="s">
        <v>30</v>
      </c>
      <c r="B7" s="6" t="s">
        <v>25</v>
      </c>
      <c r="C7" s="5" t="s">
        <v>26</v>
      </c>
      <c r="D7" s="5"/>
      <c r="K7" s="7" t="str">
        <f>_xlfn.LET(_xlpm.MrgCol1,  IF(Attr1 = "","",Attr1&amp;"= "&amp;OldBOMTbl[[#This Row],[Column1]]&amp;","),_xlpm.MrgCol2,IF(Attr2="","", Attr2&amp;"= "&amp;OldBOMTbl[[#This Row],[Column2]]&amp;","),_xlpm.MrgCol3, IF(Attr3="","", Attr3&amp;"= "&amp;OldBOMTbl[[#This Row],[Column3]]&amp;","),_xlpm.MrgCol4, IF(attr4="","",attr4&amp;"= "&amp;OldBOMTbl[[#This Row],[Column4]]&amp;","),_xlpm.MrgCol5,IF(attr5="","", attr5&amp;"= "&amp;OldBOMTbl[[#This Row],[Column5]]&amp;","),_xlpm.MrgCol6,IF(attr6="","",attr6&amp;"= "&amp;OldBOMTbl[[#This Row],[Column6]]&amp;","),_xlpm.MrgCol7,IF(attr7="","",attr7&amp;"= "&amp;OldBOMTbl[[#This Row],[Column7]]&amp;","),_xlpm.MrgCol8,IF(attr8="","",attr8&amp;"= "&amp;OldBOMTbl[[#This Row],[Column8]]&amp;","),_xlpm.MrgCol9,IF(attr9="","",attr9&amp;"= "&amp;OldBOMTbl[[#This Row],[Column9]]),_xlpm.MrgCol1&amp;_xlpm.MrgCol2&amp;_xlpm.MrgCol3&amp;_xlpm.MrgCol4&amp;_xlpm.MrgCol5&amp;_xlpm.MrgCol6&amp;_xlpm.MrgCol7&amp;_xlpm.MrgCol8&amp;_xlpm.MrgCol9)</f>
        <v>a= Concda-Concd-X753-51,b= A,c= --,</v>
      </c>
      <c r="M7" t="s">
        <v>30</v>
      </c>
      <c r="N7" t="s">
        <v>25</v>
      </c>
      <c r="O7" s="14" t="s">
        <v>33</v>
      </c>
      <c r="W7" s="7" t="str">
        <f>_xlfn.LET(_xlpm.MrgCol1,  IF(Attr1 = "","",Attr1&amp;"= "&amp;NewBOMTbl[[#This Row],[Column1]]&amp;","),_xlpm.MrgCol2,IF(Attr2="","", Attr2&amp;"= "&amp;NewBOMTbl[[#This Row],[Column2]]&amp;","),_xlpm.MrgCol3, IF(Attr3="","", Attr3&amp;"= "&amp;NewBOMTbl[[#This Row],[Column3]]&amp;","),_xlpm.MrgCol4, IF(attr4="","",attr4&amp;"= "&amp;NewBOMTbl[[#This Row],[Column4]]&amp;","),_xlpm.MrgCol5,IF(attr5="","", attr5&amp;"= "&amp;NewBOMTbl[[#This Row],[Column5]]&amp;","),_xlpm.MrgCol6,IF(attr6="","",attr6&amp;"= "&amp;NewBOMTbl[[#This Row],[Column6]]&amp;","),_xlpm.MrgCol7,IF(attr7="","",attr7&amp;"= "&amp;NewBOMTbl[[#This Row],[Column7]]&amp;","),_xlpm.MrgCol8,IF(attr8="","",attr8&amp;"= "&amp;NewBOMTbl[[#This Row],[Column8]]&amp;","),_xlpm.MrgCol9,IF(attr9="","",attr9&amp;"= "&amp;NewBOMTbl[[#This Row],[Column9]]),_xlpm.MrgCol1&amp;_xlpm.MrgCol2&amp;_xlpm.MrgCol3&amp;_xlpm.MrgCol4&amp;_xlpm.MrgCol5&amp;_xlpm.MrgCol6&amp;_xlpm.MrgCol7&amp;_xlpm.MrgCol8&amp;_xlpm.MrgCol9)</f>
        <v>a= Concda-Concd-X753-51,b= A,c= -C,</v>
      </c>
      <c r="Y7" s="15" t="s">
        <v>39</v>
      </c>
      <c r="Z7" t="s">
        <v>24</v>
      </c>
      <c r="AA7" t="s">
        <v>25</v>
      </c>
      <c r="AB7" s="14" t="s">
        <v>26</v>
      </c>
    </row>
    <row r="8" spans="1:28" x14ac:dyDescent="0.25">
      <c r="A8" s="6" t="s">
        <v>31</v>
      </c>
      <c r="B8" s="6" t="s">
        <v>25</v>
      </c>
      <c r="C8" s="5" t="s">
        <v>26</v>
      </c>
      <c r="D8" s="5"/>
      <c r="K8" s="7" t="str">
        <f>_xlfn.LET(_xlpm.MrgCol1,  IF(Attr1 = "","",Attr1&amp;"= "&amp;OldBOMTbl[[#This Row],[Column1]]&amp;","),_xlpm.MrgCol2,IF(Attr2="","", Attr2&amp;"= "&amp;OldBOMTbl[[#This Row],[Column2]]&amp;","),_xlpm.MrgCol3, IF(Attr3="","", Attr3&amp;"= "&amp;OldBOMTbl[[#This Row],[Column3]]&amp;","),_xlpm.MrgCol4, IF(attr4="","",attr4&amp;"= "&amp;OldBOMTbl[[#This Row],[Column4]]&amp;","),_xlpm.MrgCol5,IF(attr5="","", attr5&amp;"= "&amp;OldBOMTbl[[#This Row],[Column5]]&amp;","),_xlpm.MrgCol6,IF(attr6="","",attr6&amp;"= "&amp;OldBOMTbl[[#This Row],[Column6]]&amp;","),_xlpm.MrgCol7,IF(attr7="","",attr7&amp;"= "&amp;OldBOMTbl[[#This Row],[Column7]]&amp;","),_xlpm.MrgCol8,IF(attr8="","",attr8&amp;"= "&amp;OldBOMTbl[[#This Row],[Column8]]&amp;","),_xlpm.MrgCol9,IF(attr9="","",attr9&amp;"= "&amp;OldBOMTbl[[#This Row],[Column9]]),_xlpm.MrgCol1&amp;_xlpm.MrgCol2&amp;_xlpm.MrgCol3&amp;_xlpm.MrgCol4&amp;_xlpm.MrgCol5&amp;_xlpm.MrgCol6&amp;_xlpm.MrgCol7&amp;_xlpm.MrgCol8&amp;_xlpm.MrgCol9)</f>
        <v>a= Concda-Concd-X753-27,b= A,c= --,</v>
      </c>
      <c r="M8" t="s">
        <v>31</v>
      </c>
      <c r="N8" t="s">
        <v>25</v>
      </c>
      <c r="O8" t="s">
        <v>26</v>
      </c>
      <c r="W8" s="7" t="str">
        <f>_xlfn.LET(_xlpm.MrgCol1,  IF(Attr1 = "","",Attr1&amp;"= "&amp;NewBOMTbl[[#This Row],[Column1]]&amp;","),_xlpm.MrgCol2,IF(Attr2="","", Attr2&amp;"= "&amp;NewBOMTbl[[#This Row],[Column2]]&amp;","),_xlpm.MrgCol3, IF(Attr3="","", Attr3&amp;"= "&amp;NewBOMTbl[[#This Row],[Column3]]&amp;","),_xlpm.MrgCol4, IF(attr4="","",attr4&amp;"= "&amp;NewBOMTbl[[#This Row],[Column4]]&amp;","),_xlpm.MrgCol5,IF(attr5="","", attr5&amp;"= "&amp;NewBOMTbl[[#This Row],[Column5]]&amp;","),_xlpm.MrgCol6,IF(attr6="","",attr6&amp;"= "&amp;NewBOMTbl[[#This Row],[Column6]]&amp;","),_xlpm.MrgCol7,IF(attr7="","",attr7&amp;"= "&amp;NewBOMTbl[[#This Row],[Column7]]&amp;","),_xlpm.MrgCol8,IF(attr8="","",attr8&amp;"= "&amp;NewBOMTbl[[#This Row],[Column8]]&amp;","),_xlpm.MrgCol9,IF(attr9="","",attr9&amp;"= "&amp;NewBOMTbl[[#This Row],[Column9]]),_xlpm.MrgCol1&amp;_xlpm.MrgCol2&amp;_xlpm.MrgCol3&amp;_xlpm.MrgCol4&amp;_xlpm.MrgCol5&amp;_xlpm.MrgCol6&amp;_xlpm.MrgCol7&amp;_xlpm.MrgCol8&amp;_xlpm.MrgCol9)</f>
        <v>a= Concda-Concd-X753-27,b= A,c= --,</v>
      </c>
      <c r="Y8" s="15" t="s">
        <v>40</v>
      </c>
    </row>
    <row r="9" spans="1:28" x14ac:dyDescent="0.25">
      <c r="A9" s="6" t="s">
        <v>31</v>
      </c>
      <c r="B9" s="6" t="s">
        <v>25</v>
      </c>
      <c r="C9" s="5" t="s">
        <v>26</v>
      </c>
      <c r="D9" s="5"/>
      <c r="K9" s="7" t="str">
        <f>_xlfn.LET(_xlpm.MrgCol1,  IF(Attr1 = "","",Attr1&amp;"= "&amp;OldBOMTbl[[#This Row],[Column1]]&amp;","),_xlpm.MrgCol2,IF(Attr2="","", Attr2&amp;"= "&amp;OldBOMTbl[[#This Row],[Column2]]&amp;","),_xlpm.MrgCol3, IF(Attr3="","", Attr3&amp;"= "&amp;OldBOMTbl[[#This Row],[Column3]]&amp;","),_xlpm.MrgCol4, IF(attr4="","",attr4&amp;"= "&amp;OldBOMTbl[[#This Row],[Column4]]&amp;","),_xlpm.MrgCol5,IF(attr5="","", attr5&amp;"= "&amp;OldBOMTbl[[#This Row],[Column5]]&amp;","),_xlpm.MrgCol6,IF(attr6="","",attr6&amp;"= "&amp;OldBOMTbl[[#This Row],[Column6]]&amp;","),_xlpm.MrgCol7,IF(attr7="","",attr7&amp;"= "&amp;OldBOMTbl[[#This Row],[Column7]]&amp;","),_xlpm.MrgCol8,IF(attr8="","",attr8&amp;"= "&amp;OldBOMTbl[[#This Row],[Column8]]&amp;","),_xlpm.MrgCol9,IF(attr9="","",attr9&amp;"= "&amp;OldBOMTbl[[#This Row],[Column9]]),_xlpm.MrgCol1&amp;_xlpm.MrgCol2&amp;_xlpm.MrgCol3&amp;_xlpm.MrgCol4&amp;_xlpm.MrgCol5&amp;_xlpm.MrgCol6&amp;_xlpm.MrgCol7&amp;_xlpm.MrgCol8&amp;_xlpm.MrgCol9)</f>
        <v>a= Concda-Concd-X753-27,b= A,c= --,</v>
      </c>
    </row>
    <row r="11" spans="1:28" x14ac:dyDescent="0.25">
      <c r="Y11" s="1" t="s">
        <v>53</v>
      </c>
    </row>
    <row r="12" spans="1:28" x14ac:dyDescent="0.25">
      <c r="Y12" s="15" t="s">
        <v>41</v>
      </c>
      <c r="Z12" t="s">
        <v>27</v>
      </c>
      <c r="AA12" t="s">
        <v>28</v>
      </c>
      <c r="AB12" s="14" t="s">
        <v>26</v>
      </c>
    </row>
    <row r="13" spans="1:28" x14ac:dyDescent="0.25">
      <c r="Y13" s="15" t="s">
        <v>42</v>
      </c>
      <c r="Z13" t="s">
        <v>29</v>
      </c>
      <c r="AA13" t="s">
        <v>28</v>
      </c>
      <c r="AB13" s="14" t="s">
        <v>26</v>
      </c>
    </row>
    <row r="14" spans="1:28" x14ac:dyDescent="0.25">
      <c r="Y14" s="15" t="s">
        <v>43</v>
      </c>
    </row>
    <row r="15" spans="1:28" x14ac:dyDescent="0.25">
      <c r="W15" s="14"/>
    </row>
  </sheetData>
  <mergeCells count="3">
    <mergeCell ref="A1:K1"/>
    <mergeCell ref="M1:W1"/>
    <mergeCell ref="M2:U2"/>
  </mergeCells>
  <phoneticPr fontId="4" type="noConversion"/>
  <conditionalFormatting sqref="W3:W8">
    <cfRule type="duplicateValues" dxfId="12" priority="16"/>
  </conditionalFormatting>
  <conditionalFormatting sqref="K3:K9">
    <cfRule type="duplicateValues" dxfId="11" priority="24"/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E38D1-B811-41DB-882B-A3DF7066BD02}">
  <sheetPr codeName="shBOMWthFreq"/>
  <dimension ref="A1:L15"/>
  <sheetViews>
    <sheetView workbookViewId="0">
      <selection activeCell="I4" sqref="I4"/>
    </sheetView>
  </sheetViews>
  <sheetFormatPr defaultRowHeight="15" x14ac:dyDescent="0.25"/>
  <cols>
    <col min="1" max="1" width="37.85546875" bestFit="1" customWidth="1"/>
    <col min="2" max="2" width="12.5703125" style="2" bestFit="1" customWidth="1"/>
    <col min="3" max="3" width="44.28515625" bestFit="1" customWidth="1"/>
    <col min="4" max="4" width="12.5703125" bestFit="1" customWidth="1"/>
    <col min="5" max="5" width="37.85546875" bestFit="1" customWidth="1"/>
    <col min="6" max="6" width="12.5703125" bestFit="1" customWidth="1"/>
    <col min="7" max="7" width="44.28515625" bestFit="1" customWidth="1"/>
    <col min="8" max="8" width="12.5703125" bestFit="1" customWidth="1"/>
    <col min="9" max="9" width="44.140625" bestFit="1" customWidth="1"/>
  </cols>
  <sheetData>
    <row r="1" spans="1:12" x14ac:dyDescent="0.25">
      <c r="A1" s="18" t="s">
        <v>14</v>
      </c>
      <c r="B1" s="18"/>
      <c r="C1" s="18"/>
      <c r="D1" s="3"/>
      <c r="E1" s="18" t="s">
        <v>11</v>
      </c>
      <c r="F1" s="18"/>
      <c r="G1" s="18"/>
      <c r="H1" s="8"/>
      <c r="I1" s="1" t="s">
        <v>12</v>
      </c>
    </row>
    <row r="2" spans="1:12" x14ac:dyDescent="0.25">
      <c r="A2" t="s">
        <v>15</v>
      </c>
      <c r="B2" s="9" t="s">
        <v>13</v>
      </c>
      <c r="C2" t="s">
        <v>36</v>
      </c>
      <c r="E2" t="s">
        <v>15</v>
      </c>
      <c r="F2" s="9" t="s">
        <v>13</v>
      </c>
      <c r="G2" t="s">
        <v>36</v>
      </c>
      <c r="I2" t="s">
        <v>44</v>
      </c>
    </row>
    <row r="3" spans="1:12" x14ac:dyDescent="0.25">
      <c r="A3" t="s">
        <v>37</v>
      </c>
      <c r="B3" s="2">
        <v>1</v>
      </c>
      <c r="C3" s="7" t="str">
        <f>OldBOMWthFreq[[#This Row],[Records Summary]]&amp;" ,"&amp;"Qty="&amp;OldBOMWthFreq[[#This Row],[Frequency]]</f>
        <v>a= Concd-Concd-X750-101,b= A,c= -B, ,Qty=1</v>
      </c>
      <c r="E3" t="s">
        <v>39</v>
      </c>
      <c r="F3" s="2">
        <v>1</v>
      </c>
      <c r="G3" s="7" t="str">
        <f>NewBOMWthFreq[[#This Row],[Records Summary]]&amp;" ,"&amp;"Qty="&amp;NewBOMWthFreq[[#This Row],[Frequency]]</f>
        <v>a= Concd-Concd-X750-101,b= A,c= --, ,Qty=1</v>
      </c>
      <c r="I3" t="s">
        <v>45</v>
      </c>
    </row>
    <row r="4" spans="1:12" x14ac:dyDescent="0.25">
      <c r="A4" t="s">
        <v>41</v>
      </c>
      <c r="B4" s="2">
        <v>1</v>
      </c>
      <c r="C4" s="7" t="str">
        <f>OldBOMWthFreq[[#This Row],[Records Summary]]&amp;" ,"&amp;"Qty="&amp;OldBOMWthFreq[[#This Row],[Frequency]]</f>
        <v>a= Concda-Concd-X751-101,b= D,c= --, ,Qty=1</v>
      </c>
      <c r="E4" t="s">
        <v>41</v>
      </c>
      <c r="F4" s="2">
        <v>1</v>
      </c>
      <c r="G4" s="7" t="str">
        <f>NewBOMWthFreq[[#This Row],[Records Summary]]&amp;" ,"&amp;"Qty="&amp;NewBOMWthFreq[[#This Row],[Frequency]]</f>
        <v>a= Concda-Concd-X751-101,b= D,c= --, ,Qty=1</v>
      </c>
      <c r="I4" t="s">
        <v>51</v>
      </c>
    </row>
    <row r="5" spans="1:12" x14ac:dyDescent="0.25">
      <c r="A5" t="s">
        <v>42</v>
      </c>
      <c r="B5" s="2">
        <v>1</v>
      </c>
      <c r="C5" s="7" t="str">
        <f>OldBOMWthFreq[[#This Row],[Records Summary]]&amp;" ,"&amp;"Qty="&amp;OldBOMWthFreq[[#This Row],[Frequency]]</f>
        <v>a= Concda-Concd-X752-101001,b= D,c= --, ,Qty=1</v>
      </c>
      <c r="E5" t="s">
        <v>42</v>
      </c>
      <c r="F5" s="2">
        <v>1</v>
      </c>
      <c r="G5" s="7" t="str">
        <f>NewBOMWthFreq[[#This Row],[Records Summary]]&amp;" ,"&amp;"Qty="&amp;NewBOMWthFreq[[#This Row],[Frequency]]</f>
        <v>a= Concda-Concd-X752-101001,b= D,c= --, ,Qty=1</v>
      </c>
    </row>
    <row r="6" spans="1:12" x14ac:dyDescent="0.25">
      <c r="A6" t="s">
        <v>38</v>
      </c>
      <c r="B6" s="2">
        <v>1</v>
      </c>
      <c r="C6" s="7" t="str">
        <f>OldBOMWthFreq[[#This Row],[Records Summary]]&amp;" ,"&amp;"Qty="&amp;OldBOMWthFreq[[#This Row],[Frequency]]</f>
        <v>a= Concda-Concd-X753-51,b= A,c= --, ,Qty=1</v>
      </c>
      <c r="E6" t="s">
        <v>40</v>
      </c>
      <c r="F6" s="2">
        <v>1</v>
      </c>
      <c r="G6" s="7" t="str">
        <f>NewBOMWthFreq[[#This Row],[Records Summary]]&amp;" ,"&amp;"Qty="&amp;NewBOMWthFreq[[#This Row],[Frequency]]</f>
        <v>a= Concda-Concd-X753-51,b= A,c= -C, ,Qty=1</v>
      </c>
    </row>
    <row r="7" spans="1:12" x14ac:dyDescent="0.25">
      <c r="A7" t="s">
        <v>43</v>
      </c>
      <c r="B7" s="2">
        <v>2</v>
      </c>
      <c r="C7" s="7" t="str">
        <f>OldBOMWthFreq[[#This Row],[Records Summary]]&amp;" ,"&amp;"Qty="&amp;OldBOMWthFreq[[#This Row],[Frequency]]</f>
        <v>a= Concda-Concd-X753-27,b= A,c= --, ,Qty=2</v>
      </c>
      <c r="E7" t="s">
        <v>43</v>
      </c>
      <c r="F7" s="2">
        <v>1</v>
      </c>
      <c r="G7" s="7" t="str">
        <f>NewBOMWthFreq[[#This Row],[Records Summary]]&amp;" ,"&amp;"Qty="&amp;NewBOMWthFreq[[#This Row],[Frequency]]</f>
        <v>a= Concda-Concd-X753-27,b= A,c= --, ,Qty=1</v>
      </c>
      <c r="I7" s="1" t="s">
        <v>52</v>
      </c>
      <c r="L7" s="1"/>
    </row>
    <row r="8" spans="1:12" x14ac:dyDescent="0.25">
      <c r="I8" t="s">
        <v>46</v>
      </c>
    </row>
    <row r="9" spans="1:12" x14ac:dyDescent="0.25">
      <c r="I9" t="s">
        <v>47</v>
      </c>
    </row>
    <row r="10" spans="1:12" x14ac:dyDescent="0.25">
      <c r="I10" t="s">
        <v>50</v>
      </c>
    </row>
    <row r="13" spans="1:12" x14ac:dyDescent="0.25">
      <c r="I13" s="1" t="s">
        <v>53</v>
      </c>
    </row>
    <row r="14" spans="1:12" x14ac:dyDescent="0.25">
      <c r="I14" t="s">
        <v>48</v>
      </c>
    </row>
    <row r="15" spans="1:12" x14ac:dyDescent="0.25">
      <c r="I15" t="s">
        <v>49</v>
      </c>
    </row>
  </sheetData>
  <mergeCells count="2">
    <mergeCell ref="E1:G1"/>
    <mergeCell ref="A1:C1"/>
  </mergeCell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69BAB-1516-49EF-8D09-D2CC27452EEF}">
  <sheetPr codeName="WarningNotes">
    <tabColor rgb="FFFF0000"/>
  </sheetPr>
  <dimension ref="A1:A6"/>
  <sheetViews>
    <sheetView workbookViewId="0">
      <selection activeCell="A3" sqref="A3"/>
    </sheetView>
  </sheetViews>
  <sheetFormatPr defaultRowHeight="15" x14ac:dyDescent="0.25"/>
  <cols>
    <col min="1" max="1" width="114.28515625" bestFit="1" customWidth="1"/>
  </cols>
  <sheetData>
    <row r="1" spans="1:1" x14ac:dyDescent="0.25">
      <c r="A1" s="11" t="s">
        <v>16</v>
      </c>
    </row>
    <row r="2" spans="1:1" x14ac:dyDescent="0.25">
      <c r="A2" s="10" t="s">
        <v>18</v>
      </c>
    </row>
    <row r="3" spans="1:1" x14ac:dyDescent="0.25">
      <c r="A3" s="10" t="s">
        <v>35</v>
      </c>
    </row>
    <row r="4" spans="1:1" x14ac:dyDescent="0.25">
      <c r="A4" s="10" t="s">
        <v>17</v>
      </c>
    </row>
    <row r="5" spans="1:1" x14ac:dyDescent="0.25">
      <c r="A5" s="10" t="s">
        <v>22</v>
      </c>
    </row>
    <row r="6" spans="1:1" x14ac:dyDescent="0.25">
      <c r="A6" s="10" t="s">
        <v>34</v>
      </c>
    </row>
  </sheetData>
  <pageMargins left="0.7" right="0.7" top="0.75" bottom="0.75" header="0.3" footer="0.3"/>
</worksheet>
</file>

<file path=customUI/customUI.xml><?xml version="1.0" encoding="utf-8"?>
<!--RibbonX Visual Designer 1.94 for Microsoft Excel 16.0. XML Code produced on 2020-12-27-->
<customUI xmlns="http://schemas.microsoft.com/office/2006/01/customui">
  <ribbon>
    <tabs>
      <tab id="BOMTabID" label="BOM">
        <group id="BOMGrpID" label="BOM">
          <button id="CompareWOFreqID" label="Compare WO Freq" onAction="CompareWOFreqID_onAction"/>
          <button id="CompareWthFreqID" label="Compare Wth Freq" onAction="CompareWthFreqID_onActio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A97E33-3C51-482D-8BC7-385EDDC834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BOM WO Freq</vt:lpstr>
      <vt:lpstr>BOM Wth Freq</vt:lpstr>
      <vt:lpstr>Warning notes</vt:lpstr>
      <vt:lpstr>Attr1</vt:lpstr>
      <vt:lpstr>Attr2</vt:lpstr>
      <vt:lpstr>Attr3</vt:lpstr>
      <vt:lpstr>attr4</vt:lpstr>
      <vt:lpstr>attr5</vt:lpstr>
      <vt:lpstr>attr6</vt:lpstr>
      <vt:lpstr>attr7</vt:lpstr>
      <vt:lpstr>attr8</vt:lpstr>
      <vt:lpstr>attr9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Jean-Marc Flamand</cp:lastModifiedBy>
  <dcterms:created xsi:type="dcterms:W3CDTF">2019-09-26T07:56:43Z</dcterms:created>
  <dcterms:modified xsi:type="dcterms:W3CDTF">2020-12-30T13:21:29Z</dcterms:modified>
</cp:coreProperties>
</file>